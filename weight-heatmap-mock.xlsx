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tmap" sheetId="1" r:id="rId1"/>
  </sheets>
  <calcPr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;-0.00;&quot;—&quot;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D4F64"/>
        <bgColor indexed="64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ill>
        <patternFill>
          <bgColor rgb="FFA0AE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8" customWidth="1"/>
    <col min="3" max="6" width="15" customWidth="1"/>
    <col min="7" max="10" width="13" customWidth="1"/>
  </cols>
  <sheetData>
    <row r="1">
      <c r="A1" t="inlineStr" s="1">
        <is>
          <t xml:space="preserve">Destination (ARC)</t>
        </is>
      </c>
      <c r="B1" t="inlineStr" s="1">
        <is>
          <t xml:space="preserve">Trailer</t>
        </is>
      </c>
      <c r="C1" t="inlineStr" s="1">
        <is>
          <t xml:space="preserve">Live Rate (jobs/hr)</t>
        </is>
      </c>
      <c r="D1" t="inlineStr" s="1">
        <is>
          <t xml:space="preserve">Content</t>
        </is>
      </c>
      <c r="E1" t="inlineStr" s="1">
        <is>
          <t xml:space="preserve">Payload (lb)</t>
        </is>
      </c>
      <c r="F1" t="inlineStr" s="1">
        <is>
          <t xml:space="preserve">Target (lb) = 100%</t>
        </is>
      </c>
      <c r="G1" t="inlineStr" s="1">
        <is>
          <t xml:space="preserve">Fill %</t>
        </is>
      </c>
      <c r="H1" t="inlineStr" s="1">
        <is>
          <t xml:space="preserve">Bucket 5%</t>
        </is>
      </c>
      <c r="I1" t="inlineStr" s="1">
        <is>
          <t xml:space="preserve">Fill Rate (lb/hr)</t>
        </is>
      </c>
      <c r="J1" t="inlineStr" s="1">
        <is>
          <t xml:space="preserve">ETA to Full (hr)</t>
        </is>
      </c>
    </row>
    <row r="2">
      <c r="A2" t="inlineStr" s="0">
        <is>
          <t xml:space="preserve">SBN1 (RFD2→SBN1)</t>
        </is>
      </c>
      <c r="B2" t="inlineStr" s="0">
        <is>
          <t xml:space="preserve">YTF21313988237</t>
        </is>
      </c>
      <c r="C2" s="3">
        <v>772</v>
      </c>
      <c r="D2" s="3">
        <v>1760</v>
      </c>
      <c r="E2" s="4">
        <v>36953.9</v>
      </c>
      <c r="F2" s="3">
        <v>40000</v>
      </c>
      <c r="G2" s="2">
        <f>IF(F2=0,0,E2/F2)</f>
        <v>0.9238475</v>
      </c>
      <c r="H2" s="2">
        <f>FLOOR(G2,0.05)</f>
        <v>0.9</v>
      </c>
      <c r="I2" s="3">
        <f>IF(D2=0,0,C2*(E2/D2))</f>
        <v>16209.324318181818</v>
      </c>
      <c r="J2" s="5">
        <f>IF(I2=0,0,(F2-E2)/I2)</f>
        <v>0.1879227005522508</v>
      </c>
    </row>
    <row r="3">
      <c r="A3" t="inlineStr" s="0">
        <is>
          <t xml:space="preserve">MKE2_CASE</t>
        </is>
      </c>
      <c r="B3" t="inlineStr" s="0">
        <is>
          <t xml:space="preserve">YTF44120097713</t>
        </is>
      </c>
      <c r="C3" s="3">
        <v>772</v>
      </c>
      <c r="D3" s="3">
        <v>410</v>
      </c>
      <c r="E3" s="4">
        <v>8200.0</v>
      </c>
      <c r="F3" s="3">
        <v>40000</v>
      </c>
      <c r="G3" s="2">
        <f>IF(F3=0,0,E3/F3)</f>
        <v>0.205</v>
      </c>
      <c r="H3" s="2">
        <f>FLOOR(G3,0.05)</f>
        <v>0.2</v>
      </c>
      <c r="I3" s="3">
        <f>IF(D3=0,0,C3*(E3/D3))</f>
        <v>15440.0</v>
      </c>
      <c r="J3" s="5">
        <f>IF(I3=0,0,(F3-E3)/I3)</f>
        <v>2.0595854922279795</v>
      </c>
    </row>
    <row r="4">
      <c r="A4" t="inlineStr" s="0">
        <is>
          <t xml:space="preserve">DET6</t>
        </is>
      </c>
      <c r="B4" t="inlineStr" s="0">
        <is>
          <t xml:space="preserve">YTF55013377420</t>
        </is>
      </c>
      <c r="C4" s="3">
        <v>540</v>
      </c>
      <c r="D4" s="3">
        <v>1080</v>
      </c>
      <c r="E4" s="4">
        <v>22500.0</v>
      </c>
      <c r="F4" s="3">
        <v>40000</v>
      </c>
      <c r="G4" s="2">
        <f>IF(F4=0,0,E4/F4)</f>
        <v>0.5625</v>
      </c>
      <c r="H4" s="2">
        <f>FLOOR(G4,0.05)</f>
        <v>0.55</v>
      </c>
      <c r="I4" s="3">
        <f>IF(D4=0,0,C4*(E4/D4))</f>
        <v>11250.0</v>
      </c>
      <c r="J4" s="5">
        <f>IF(I4=0,0,(F4-E4)/I4)</f>
        <v>1.5555555555555556</v>
      </c>
    </row>
    <row r="5">
      <c r="A5" t="inlineStr" s="0">
        <is>
          <t xml:space="preserve">ORD9</t>
        </is>
      </c>
      <c r="B5" t="inlineStr" s="0">
        <is>
          <t xml:space="preserve">YTF88820041190</t>
        </is>
      </c>
      <c r="C5" s="3">
        <v>610</v>
      </c>
      <c r="D5" s="3">
        <v>2050</v>
      </c>
      <c r="E5" s="4">
        <v>39200.0</v>
      </c>
      <c r="F5" s="3">
        <v>40000</v>
      </c>
      <c r="G5" s="2">
        <f>IF(F5=0,0,E5/F5)</f>
        <v>0.98</v>
      </c>
      <c r="H5" s="2">
        <f>FLOOR(G5,0.05)</f>
        <v>0.9500000000000001</v>
      </c>
      <c r="I5" s="3">
        <f>IF(D5=0,0,C5*(E5/D5))</f>
        <v>11664.390243902439</v>
      </c>
      <c r="J5" s="5">
        <f>IF(I5=0,0,(F5-E5)/I5)</f>
        <v>0.06858481097356976</v>
      </c>
    </row>
    <row r="6">
      <c r="A6" t="inlineStr" s="0">
        <is>
          <t xml:space="preserve">MDW2</t>
        </is>
      </c>
      <c r="B6" t="inlineStr" s="0">
        <is>
          <t xml:space="preserve">YTF20391100245</t>
        </is>
      </c>
      <c r="C6" s="3">
        <v>480</v>
      </c>
      <c r="D6" s="3">
        <v>0</v>
      </c>
      <c r="E6" s="4">
        <v>0.0</v>
      </c>
      <c r="F6" s="3">
        <v>40000</v>
      </c>
      <c r="G6" s="2">
        <f>IF(F6=0,0,E6/F6)</f>
        <v>0.0</v>
      </c>
      <c r="H6" s="2">
        <f>FLOOR(G6,0.05)</f>
        <v>0.0</v>
      </c>
      <c r="I6" s="3">
        <f>IF(D6=0,0,C6*(E6/D6))</f>
        <v>0</v>
      </c>
      <c r="J6" s="5">
        <f>IF(I6=0,0,(F6-E6)/I6)</f>
        <v>0.0</v>
      </c>
    </row>
    <row r="8">
      <c r="A8" t="inlineStr" s="0">
        <is>
          <t xml:space="preserve">Test me: change a Payload in column E — Fill % (col G) and its colour update live. 100% = 40,000 lb (column F).</t>
        </is>
      </c>
    </row>
    <row r="9">
      <c r="A9" t="inlineStr" s="0">
        <is>
          <t xml:space="preserve">Heat scale: 0% grey · 5% green · ~50% yellow · 100% red (Conditional Formatting applied to column G).</t>
        </is>
      </c>
    </row>
  </sheetData>
  <conditionalFormatting sqref="G2:G6">
    <cfRule type="cellIs" dxfId="0" priority="1" operator="equal" stopIfTrue="1">
      <formula>0</formula>
    </cfRule>
    <cfRule type="colorScale" priority="2">
      <colorScale>
        <cfvo type="num" val="0.05"/>
        <cfvo type="num" val="0.5"/>
        <cfvo type="num" val="1"/>
        <color rgb="FF38A169"/>
        <color rgb="FFF6E05E"/>
        <color rgb="FFE53E3E"/>
      </colorScale>
    </cfRule>
  </conditionalFormatting>
</worksheet>
</file>